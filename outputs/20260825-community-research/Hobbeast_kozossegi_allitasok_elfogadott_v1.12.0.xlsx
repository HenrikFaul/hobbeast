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1c84c23fe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egyzőkönyv" sheetId="1" r:id="R4fe5b158bdde40ee"/>
    <x:sheet xmlns:r="http://schemas.openxmlformats.org/officeDocument/2006/relationships" name="Importálható" sheetId="2" r:id="R3208a3e2e65c4f21"/>
    <x:sheet xmlns:r="http://schemas.openxmlformats.org/officeDocument/2006/relationships" name="Forrásjegyzék" sheetId="3" r:id="R992ffdb9cc22428e"/>
    <x:sheet xmlns:r="http://schemas.openxmlformats.org/officeDocument/2006/relationships" name="Lokalizációs séma" sheetId="4" r:id="R63cd690c77df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11"/>
      <x:color rgb="FF17231B"/>
      <x:name val="Carlito"/>
    </x:font>
    <x:font>
      <x:sz val="10"/>
      <x:color rgb="FF17231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81A"/>
      </x:patternFill>
    </x:fill>
    <x:fill>
      <x:patternFill patternType="solid">
        <x:fgColor rgb="FF173F2A"/>
      </x:patternFill>
    </x:fill>
    <x:fill>
      <x:patternFill patternType="solid">
        <x:fgColor rgb="FFD7FF45"/>
      </x:patternFill>
    </x:fill>
    <x:fill>
      <x:patternFill patternType="solid">
        <x:fgColor rgb="FFC9B5FF"/>
      </x:patternFill>
    </x:fill>
  </x:fills>
  <x:borders count="5">
    <x:border/>
    <x:border>
      <x:left style="thin">
        <x:color rgb="FFD9DED8"/>
      </x:left>
      <x:top style="thin">
        <x:color rgb="FFD9DED8"/>
      </x:top>
      <x:bottom style="thin">
        <x:color rgb="FFD9DED8"/>
      </x:bottom>
    </x:border>
    <x:border>
      <x:right style="thin">
        <x:color rgb="FFD9DED8"/>
      </x:right>
      <x:top style="thin">
        <x:color rgb="FFD9DED8"/>
      </x:top>
      <x:bottom style="thin">
        <x:color rgb="FFD9DED8"/>
      </x:bottom>
    </x:border>
    <x:border>
      <x:bottom style="thin">
        <x:color rgb="FFD9DED8"/>
      </x:bottom>
    </x:border>
    <x:border>
      <x:top style="thin">
        <x:color rgb="FFD9DED8"/>
      </x:top>
      <x:bottom style="thin">
        <x:color rgb="FFD9DED8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200" fontId="4" fillId="0" borderId="4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ae1ea0c974076" /><Relationship Type="http://schemas.openxmlformats.org/officeDocument/2006/relationships/theme" Target="/xl/theme/theme1.xml" Id="R98d4a27e5a774bf9" /><Relationship Type="http://schemas.openxmlformats.org/officeDocument/2006/relationships/sharedStrings" Target="/xl/sharedStrings.xml" Id="R66d42244902542e9" /><Relationship Type="http://schemas.openxmlformats.org/officeDocument/2006/relationships/worksheet" Target="/xl/worksheets/sheet1.xml" Id="R4fe5b158bdde40ee" /><Relationship Type="http://schemas.openxmlformats.org/officeDocument/2006/relationships/worksheet" Target="/xl/worksheets/sheet2.xml" Id="R3208a3e2e65c4f21" /><Relationship Type="http://schemas.openxmlformats.org/officeDocument/2006/relationships/worksheet" Target="/xl/worksheets/sheet3.xml" Id="R992ffdb9cc22428e" /><Relationship Type="http://schemas.openxmlformats.org/officeDocument/2006/relationships/worksheet" Target="/xl/worksheets/sheet4.xml" Id="R63cd690c77df4ee2" /></Relationships>
</file>

<file path=xl/tables/table1.xml><?xml version="1.0" encoding="utf-8"?>
<x:table xmlns:x="http://schemas.openxmlformats.org/spreadsheetml/2006/main" id="1" name="AcceptedClaimsTable" displayName="AcceptedClaimsTable" ref="A4:N34" headerRowCount="1" totalsRowCount="0" totalsRowShown="0">
  <x:tableColumns count="14">
    <x:tableColumn id="1" name="Forrás sorszám"/>
    <x:tableColumn id="2" name="Forrás Excel-sor"/>
    <x:tableColumn id="3" name="Locale"/>
    <x:tableColumn id="4" name="Állítás — változtatás nélkül"/>
    <x:tableColumn id="5" name="Könyv / szakirodalmi forrás — változtatás nélkül"/>
    <x:tableColumn id="6" name="Szerző(k) — változtatás nélkül"/>
    <x:tableColumn id="7" name="Év — változtatás nélkül"/>
    <x:tableColumn id="8" name="Forrás URL"/>
    <x:tableColumn id="9" name="DOI"/>
    <x:tableColumn id="10" name="Ellenőrzés"/>
    <x:tableColumn id="11" name="Bizonyítéktípus"/>
    <x:tableColumn id="12" name="Témacímkék"/>
    <x:tableColumn id="13" name="Publikációs státusz"/>
    <x:tableColumn id="14" name="Szerkesztői megjegyzé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AcceptedSourcesTable" displayName="AcceptedSourcesTable" ref="A4:H16" headerRowCount="1" totalsRowCount="0" totalsRowShown="0">
  <x:tableColumns count="8">
    <x:tableColumn id="1" name="Forrás"/>
    <x:tableColumn id="2" name="Szerző(k)"/>
    <x:tableColumn id="3" name="Év"/>
    <x:tableColumn id="4" name="Forrás URL"/>
    <x:tableColumn id="5" name="DOI"/>
    <x:tableColumn id="6" name="Ellenőrzés"/>
    <x:tableColumn id="7" name="Bizonyítéktípus"/>
    <x:tableColumn id="8" name="Állítások szám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78040e96fc43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7a764419b843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6" hidden="0" customWidth="1"/>
  </x:cols>
  <x:sheetData>
    <x:row r="1" ht="30" customHeight="1">
      <x:c r="A1" s="3" t="str">
        <x:v>Hobbeast · szakirodalmi feldolgozási jegyzőkönyv</x:v>
      </x:c>
      <x:c r="B1" s="3"/>
    </x:row>
    <x:row r="2" ht="38" customHeight="1">
      <x:c r="A2" s="7" t="str">
        <x:v>Az eredeti forrásfájl változatlan maradt. A nyilvános induló készlet csak deduplikált, bibliográfiailag ellenőrzött és közösségi felületen vállalható tételeket tartalmaz.</x:v>
      </x:c>
      <x:c r="B2" s="7"/>
    </x:row>
    <x:row r="4" ht="34" customHeight="1">
      <x:c r="A4" s="14" t="str">
        <x:v>Mutató</x:v>
      </x:c>
      <x:c r="B4" s="15" t="str">
        <x:v>Érték</x:v>
      </x:c>
    </x:row>
    <x:row r="5">
      <x:c r="A5" s="21" t="str">
        <x:v>Forrásfájl sorai</x:v>
      </x:c>
      <x:c r="B5" s="21" t="n">
        <x:v>565</x:v>
      </x:c>
    </x:row>
    <x:row r="6">
      <x:c r="A6" s="22" t="str">
        <x:v>Teljesen azonos, eltávolított ismétlések</x:v>
      </x:c>
      <x:c r="B6" s="22" t="n">
        <x:v>80</x:v>
      </x:c>
    </x:row>
    <x:row r="7">
      <x:c r="A7" s="22" t="str">
        <x:v>Egyedi állítások</x:v>
      </x:c>
      <x:c r="B7" s="22" t="n">
        <x:v>485</x:v>
      </x:c>
    </x:row>
    <x:row r="8">
      <x:c r="A8" s="22" t="str">
        <x:v>Nyilvános induló készlet</x:v>
      </x:c>
      <x:c r="B8" s="22" t="n">
        <x:f>COUNTA('Importálható'!$A$5:$A$2000)</x:f>
        <x:v>30</x:v>
      </x:c>
    </x:row>
    <x:row r="9">
      <x:c r="A9" s="22" t="str">
        <x:v>Emberi felülvizsgálatra irányítva</x:v>
      </x:c>
      <x:c r="B9" s="22" t="n">
        <x:v>455</x:v>
      </x:c>
    </x:row>
    <x:row r="10">
      <x:c r="A10" s="22" t="str">
        <x:v>Egyeztetési kontroll</x:v>
      </x:c>
      <x:c r="B10" s="22" t="n">
        <x:f>B6+B8+B9</x:f>
        <x:v>565</x:v>
      </x:c>
    </x:row>
    <x:row r="12" ht="34" customHeight="1">
      <x:c r="A12" s="29" t="str">
        <x:v>Szabály</x:v>
      </x:c>
      <x:c r="B12" s="30" t="str">
        <x:v>Leírás</x:v>
      </x:c>
    </x:row>
    <x:row r="13" ht="45" customHeight="1">
      <x:c r="A13" s="21" t="str">
        <x:v>Szöveghűség</x:v>
      </x:c>
      <x:c r="B13" s="21" t="str">
        <x:v>Az állítás, forrás, szerző és év szövege változtatás nélkül került át.</x:v>
      </x:c>
    </x:row>
    <x:row r="14" ht="45" customHeight="1">
      <x:c r="A14" s="22" t="str">
        <x:v>Deduplikáció</x:v>
      </x:c>
      <x:c r="B14" s="22" t="str">
        <x:v>Unicode-normalizált, kisbetűsített, írásjel- és whitespace-normalizált teljes állításszöveg alapján; az első előfordulás a kanonikus.</x:v>
      </x:c>
    </x:row>
    <x:row r="15" ht="45" customHeight="1">
      <x:c r="A15" s="22" t="str">
        <x:v>Nyilvános státusz</x:v>
      </x:c>
      <x:c r="B15" s="22" t="str">
        <x:v>Csak külön ellenőrzött, pozitív vagy óvatosan megfogalmazott tételek; a többi nem törlődött, hanem review-kimenetbe került.</x:v>
      </x:c>
    </x:row>
    <x:row r="16" ht="45" customHeight="1">
      <x:c r="A16" s="22" t="str">
        <x:v>Lokalizáció</x:v>
      </x:c>
      <x:c r="B16" s="22" t="str">
        <x:v>A forrásnyelvi rekord és a fordítások külön táblába kerülnek; a hu-HU induló szöveg később nem írható felül fordításkor.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58" hidden="0" customWidth="1"/>
    <x:col min="5" max="5" width="38" hidden="0" customWidth="1"/>
    <x:col min="6" max="6" width="34" hidden="0" customWidth="1"/>
    <x:col min="7" max="7" width="14" hidden="0" customWidth="1"/>
    <x:col min="8" max="8" width="42" hidden="0" customWidth="1"/>
    <x:col min="9" max="9" width="28" hidden="0" customWidth="1"/>
    <x:col min="10" max="10" width="38" hidden="0" customWidth="1"/>
    <x:col min="11" max="11" width="23" hidden="0" customWidth="1"/>
    <x:col min="12" max="12" width="34" hidden="0" customWidth="1"/>
    <x:col min="13" max="13" width="18" hidden="0" customWidth="1"/>
    <x:col min="14" max="14" width="38" hidden="0" customWidth="1"/>
  </x:cols>
  <x:sheetData>
    <x:row r="1" ht="30" customHeight="1">
      <x:c r="A1" s="3" t="str">
        <x:v>Importálható közösségi kutatási állítások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8" customHeight="1">
      <x:c r="A2" s="7" t="str">
        <x:v>A 30 sor a Hobbeast hu-HU induló, nyilvánosan forgatható készlete. A forrásszöveg nem lett átírva; az ellenőrzési és működési mezők külön oszlopok.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14" t="str">
        <x:v>Forrás sorszám</x:v>
      </x:c>
      <x:c r="B4" s="33" t="str">
        <x:v>Forrás Excel-sor</x:v>
      </x:c>
      <x:c r="C4" s="33" t="str">
        <x:v>Locale</x:v>
      </x:c>
      <x:c r="D4" s="33" t="str">
        <x:v>Állítás — változtatás nélkül</x:v>
      </x:c>
      <x:c r="E4" s="33" t="str">
        <x:v>Könyv / szakirodalmi forrás — változtatás nélkül</x:v>
      </x:c>
      <x:c r="F4" s="33" t="str">
        <x:v>Szerző(k) — változtatás nélkül</x:v>
      </x:c>
      <x:c r="G4" s="33" t="str">
        <x:v>Év — változtatás nélkül</x:v>
      </x:c>
      <x:c r="H4" s="33" t="str">
        <x:v>Forrás URL</x:v>
      </x:c>
      <x:c r="I4" s="33" t="str">
        <x:v>DOI</x:v>
      </x:c>
      <x:c r="J4" s="33" t="str">
        <x:v>Ellenőrzés</x:v>
      </x:c>
      <x:c r="K4" s="33" t="str">
        <x:v>Bizonyítéktípus</x:v>
      </x:c>
      <x:c r="L4" s="33" t="str">
        <x:v>Témacímkék</x:v>
      </x:c>
      <x:c r="M4" s="33" t="str">
        <x:v>Publikációs státusz</x:v>
      </x:c>
      <x:c r="N4" s="15" t="str">
        <x:v>Szerkesztői megjegyzés</x:v>
      </x:c>
    </x:row>
    <x:row r="5" ht="72" customHeight="1">
      <x:c r="A5" s="36" t="n">
        <x:v>6</x:v>
      </x:c>
      <x:c r="B5" s="36" t="n">
        <x:v>7</x:v>
      </x:c>
      <x:c r="C5" s="37" t="str">
        <x:v>hu-HU</x:v>
      </x:c>
      <x:c r="D5" s="21" t="str">
        <x:v>A „gyenge kötések” – ismerősök, laza szakmai/társas kapcsolatok – gyakran fontos hidak új információkhoz és lehetőségekhez; nem csak az intim kapcsolatok értékesek.</x:v>
      </x:c>
      <x:c r="E5" s="21" t="str">
        <x:v>The Strength of Weak Ties</x:v>
      </x:c>
      <x:c r="F5" s="21" t="str">
        <x:v>Mark S. Granovetter</x:v>
      </x:c>
      <x:c r="G5" s="21" t="n">
        <x:v>1973</x:v>
      </x:c>
      <x:c r="H5" s="21" t="str">
        <x:v>https://www.journals.uchicago.edu/doi/10.1086/225469</x:v>
      </x:c>
      <x:c r="I5" s="21" t="str">
        <x:v>10.1086/225469</x:v>
      </x:c>
      <x:c r="J5" s="21" t="str">
        <x:v>Elsődleges kiadói cikkoldal és absztrakt ellenőrizve 2026-08-25</x:v>
      </x:c>
      <x:c r="K5" s="21" t="str">
        <x:v>peer_reviewed_article</x:v>
      </x:c>
      <x:c r="L5" s="21" t="str">
        <x:v>gyenge_kotesek, kozossegi_hidak, uj_lehetosegek</x:v>
      </x:c>
      <x:c r="M5" s="37" t="str">
        <x:v>published</x:v>
      </x:c>
      <x:c r="N5" s="21" t="str">
        <x:v>Az állítás szövege változtatás nélkül került át a forrásmunkafüzetből.</x:v>
      </x:c>
    </x:row>
    <x:row r="6" ht="72" customHeight="1">
      <x:c r="A6" s="38" t="n">
        <x:v>8</x:v>
      </x:c>
      <x:c r="B6" s="38" t="n">
        <x:v>9</x:v>
      </x:c>
      <x:c r="C6" s="39" t="str">
        <x:v>hu-HU</x:v>
      </x:c>
      <x:c r="D6" s="22" t="str">
        <x:v>A valahová tartozás iránti szükséglet erős és széles körben megjelenő emberi motiváció; az emberek tartós, pozitív kapcsolatok kialakítására és fenntartására törekednek.</x:v>
      </x:c>
      <x:c r="E6" s="22" t="str">
        <x:v>The Need to Belong: Desire for Interpersonal Attachments as a Fundamental Human Motivation</x:v>
      </x:c>
      <x:c r="F6" s="22" t="str">
        <x:v>Roy F. Baumeister, Mark R. Leary</x:v>
      </x:c>
      <x:c r="G6" s="22" t="n">
        <x:v>1995</x:v>
      </x:c>
      <x:c r="H6" s="22" t="str">
        <x:v>https://pubmed.ncbi.nlm.nih.gov/7777651/</x:v>
      </x:c>
      <x:c r="I6" s="22" t="str">
        <x:v>10.1037/0033-2909.117.3.497</x:v>
      </x:c>
      <x:c r="J6" s="22" t="str">
        <x:v>PubMed bibliográfia és absztrakt ellenőrizve 2026-08-25</x:v>
      </x:c>
      <x:c r="K6" s="22" t="str">
        <x:v>peer_reviewed_review</x:v>
      </x:c>
      <x:c r="L6" s="22" t="str">
        <x:v>valahova_tartozas, tartos_kapcsolatok</x:v>
      </x:c>
      <x:c r="M6" s="39" t="str">
        <x:v>published</x:v>
      </x:c>
      <x:c r="N6" s="22" t="str">
        <x:v>Az állítás szövege változtatás nélkül került át a forrásmunkafüzetből.</x:v>
      </x:c>
    </x:row>
    <x:row r="7" ht="72" customHeight="1">
      <x:c r="A7" s="38" t="n">
        <x:v>27</x:v>
      </x:c>
      <x:c r="B7" s="38" t="n">
        <x:v>28</x:v>
      </x:c>
      <x:c r="C7" s="39" t="str">
        <x:v>hu-HU</x:v>
      </x:c>
      <x:c r="D7" s="22" t="str">
        <x:v>A társas támogatás stressz alatti védő szerepének klasszikus elmélete szerint a támogatás csökkentheti a stresszorok észlelt fenyegetését vagy a rájuk adott reakció terhét.</x:v>
      </x:c>
      <x:c r="E7" s="22" t="str">
        <x:v>Stress, Social Support, and the Buffering Hypothesis</x:v>
      </x:c>
      <x:c r="F7" s="22" t="str">
        <x:v>Sheldon Cohen, Thomas A. Wills</x:v>
      </x:c>
      <x:c r="G7" s="22" t="n">
        <x:v>1985</x:v>
      </x:c>
      <x:c r="H7" s="22" t="str">
        <x:v>https://doi.org/10.1037/0033-2909.98.2.310</x:v>
      </x:c>
      <x:c r="I7" s="22" t="str">
        <x:v>10.1037/0033-2909.98.2.310</x:v>
      </x:c>
      <x:c r="J7" s="22" t="str">
        <x:v>DOI bibliográfia és a forrás absztraktja ellenőrizve 2026-08-25</x:v>
      </x:c>
      <x:c r="K7" s="22" t="str">
        <x:v>peer_reviewed_review</x:v>
      </x:c>
      <x:c r="L7" s="22" t="str">
        <x:v>tarsas_tamogatas, stressz, kolcsonos_segites</x:v>
      </x:c>
      <x:c r="M7" s="39" t="str">
        <x:v>published</x:v>
      </x:c>
      <x:c r="N7" s="22" t="str">
        <x:v>Az állítás szövege változtatás nélkül került át a forrásmunkafüzetből.</x:v>
      </x:c>
    </x:row>
    <x:row r="8" ht="72" customHeight="1">
      <x:c r="A8" s="38" t="n">
        <x:v>28</x:v>
      </x:c>
      <x:c r="B8" s="38" t="n">
        <x:v>29</x:v>
      </x:c>
      <x:c r="C8" s="39" t="str">
        <x:v>hu-HU</x:v>
      </x:c>
      <x:c r="D8" s="22" t="str">
        <x:v>A stressz-buffering hatás nem univerzális: függhet a stresszor típusától, a támogatás minőségétől, az egyéntől és a helyzettől.</x:v>
      </x:c>
      <x:c r="E8" s="22" t="str">
        <x:v>Stress, Social Support, and the Buffering Hypothesis</x:v>
      </x:c>
      <x:c r="F8" s="22" t="str">
        <x:v>Sheldon Cohen, Thomas A. Wills</x:v>
      </x:c>
      <x:c r="G8" s="22" t="n">
        <x:v>1985</x:v>
      </x:c>
      <x:c r="H8" s="22" t="str">
        <x:v>https://doi.org/10.1037/0033-2909.98.2.310</x:v>
      </x:c>
      <x:c r="I8" s="22" t="str">
        <x:v>10.1037/0033-2909.98.2.310</x:v>
      </x:c>
      <x:c r="J8" s="22" t="str">
        <x:v>DOI bibliográfia és a forrás absztraktja ellenőrizve 2026-08-25</x:v>
      </x:c>
      <x:c r="K8" s="22" t="str">
        <x:v>peer_reviewed_review</x:v>
      </x:c>
      <x:c r="L8" s="22" t="str">
        <x:v>tarsas_tamogatas, stressz, kolcsonos_segites</x:v>
      </x:c>
      <x:c r="M8" s="39" t="str">
        <x:v>published</x:v>
      </x:c>
      <x:c r="N8" s="22" t="str">
        <x:v>Az állítás szövege változtatás nélkül került át a forrásmunkafüzetből.</x:v>
      </x:c>
    </x:row>
    <x:row r="9" ht="72" customHeight="1">
      <x:c r="A9" s="38" t="n">
        <x:v>113</x:v>
      </x:c>
      <x:c r="B9" s="38" t="n">
        <x:v>114</x:v>
      </x:c>
      <x:c r="C9" s="39" t="str">
        <x:v>hu-HU</x:v>
      </x:c>
      <x:c r="D9" s="22" t="str">
        <x:v>A helyi társas infrastruktúra – megközelíthető közösségi terek, könyvtárak, parkok, klubok, jó közlekedés – valószínűsíthetően befolyásolja a közösségi részvétel gyakorlati költségét és elérhetőségét.</x:v>
      </x:c>
      <x:c r="E9" s="22" t="str">
        <x:v>From Loneliness to Social Connection: Charting a Path to Healthier Societies</x:v>
      </x:c>
      <x:c r="F9" s="22" t="str">
        <x:v>WHO Commission on Social Connection</x:v>
      </x:c>
      <x:c r="G9" s="22" t="n">
        <x:v>2025</x:v>
      </x:c>
      <x:c r="H9" s="22" t="str">
        <x:v>https://www.who.int/publications/i/item/978240112360</x:v>
      </x:c>
      <x:c r="I9" s="22"/>
      <x:c r="J9" s="22" t="str">
        <x:v>WHO elsődleges jelentésoldal és teljes jelentés ellenőrizve 2026-08-25</x:v>
      </x:c>
      <x:c r="K9" s="22" t="str">
        <x:v>institutional_report</x:v>
      </x:c>
      <x:c r="L9" s="22" t="str">
        <x:v>tarsas_infrastruktura, hozzaferhetoseg, befogadas, rendszerszintu_kapcsolodas</x:v>
      </x:c>
      <x:c r="M9" s="39" t="str">
        <x:v>published</x:v>
      </x:c>
      <x:c r="N9" s="22" t="str">
        <x:v>Az állítás szövege változtatás nélkül került át a forrásmunkafüzetből.</x:v>
      </x:c>
    </x:row>
    <x:row r="10" ht="72" customHeight="1">
      <x:c r="A10" s="38" t="n">
        <x:v>114</x:v>
      </x:c>
      <x:c r="B10" s="38" t="n">
        <x:v>115</x:v>
      </x:c>
      <x:c r="C10" s="39" t="str">
        <x:v>hu-HU</x:v>
      </x:c>
      <x:c r="D10" s="22" t="str">
        <x:v>A WHO szerint a társas kapcsolat a jóllét és egészség fontos társadalmi meghatározója; a politikai és közösségi válaszoknak nem kizárólag egyéni viselkedésváltoztatásra kell épülniük.</x:v>
      </x:c>
      <x:c r="E10" s="22" t="str">
        <x:v>From Loneliness to Social Connection: Charting a Path to Healthier Societies</x:v>
      </x:c>
      <x:c r="F10" s="22" t="str">
        <x:v>WHO Commission on Social Connection</x:v>
      </x:c>
      <x:c r="G10" s="22" t="n">
        <x:v>2025</x:v>
      </x:c>
      <x:c r="H10" s="22" t="str">
        <x:v>https://www.who.int/publications/i/item/978240112360</x:v>
      </x:c>
      <x:c r="I10" s="22"/>
      <x:c r="J10" s="22" t="str">
        <x:v>WHO elsődleges jelentésoldal és teljes jelentés ellenőrizve 2026-08-25</x:v>
      </x:c>
      <x:c r="K10" s="22" t="str">
        <x:v>institutional_report</x:v>
      </x:c>
      <x:c r="L10" s="22" t="str">
        <x:v>tarsas_infrastruktura, hozzaferhetoseg, befogadas, rendszerszintu_kapcsolodas</x:v>
      </x:c>
      <x:c r="M10" s="39" t="str">
        <x:v>published</x:v>
      </x:c>
      <x:c r="N10" s="22" t="str">
        <x:v>Az állítás szövege változtatás nélkül került át a forrásmunkafüzetből.</x:v>
      </x:c>
    </x:row>
    <x:row r="11" ht="72" customHeight="1">
      <x:c r="A11" s="38" t="n">
        <x:v>115</x:v>
      </x:c>
      <x:c r="B11" s="38" t="n">
        <x:v>116</x:v>
      </x:c>
      <x:c r="C11" s="39" t="str">
        <x:v>hu-HU</x:v>
      </x:c>
      <x:c r="D11" s="22" t="str">
        <x:v>A WHO globális jelentése szerint a magány széles körben jelen van, és a társas kapcsolódást az egészség, oktatás, munka, digitális környezet és helyi közösség rendszerszintjén is érdemes kezelni.</x:v>
      </x:c>
      <x:c r="E11" s="22" t="str">
        <x:v>From Loneliness to Social Connection: Charting a Path to Healthier Societies</x:v>
      </x:c>
      <x:c r="F11" s="22" t="str">
        <x:v>WHO Commission on Social Connection</x:v>
      </x:c>
      <x:c r="G11" s="22" t="n">
        <x:v>2025</x:v>
      </x:c>
      <x:c r="H11" s="22" t="str">
        <x:v>https://www.who.int/publications/i/item/978240112360</x:v>
      </x:c>
      <x:c r="I11" s="22"/>
      <x:c r="J11" s="22" t="str">
        <x:v>WHO elsődleges jelentésoldal és teljes jelentés ellenőrizve 2026-08-25</x:v>
      </x:c>
      <x:c r="K11" s="22" t="str">
        <x:v>institutional_report</x:v>
      </x:c>
      <x:c r="L11" s="22" t="str">
        <x:v>tarsas_infrastruktura, hozzaferhetoseg, befogadas, rendszerszintu_kapcsolodas</x:v>
      </x:c>
      <x:c r="M11" s="39" t="str">
        <x:v>published</x:v>
      </x:c>
      <x:c r="N11" s="22" t="str">
        <x:v>Az állítás szövege változtatás nélkül került át a forrásmunkafüzetből.</x:v>
      </x:c>
    </x:row>
    <x:row r="12" ht="72" customHeight="1">
      <x:c r="A12" s="38" t="n">
        <x:v>118</x:v>
      </x:c>
      <x:c r="B12" s="38" t="n">
        <x:v>119</x:v>
      </x:c>
      <x:c r="C12" s="39" t="str">
        <x:v>hu-HU</x:v>
      </x:c>
      <x:c r="D12" s="22" t="str">
        <x:v>A kapcsolatminőség sok esetben fontosabb lehet, mint a kapcsolat megléte; ezért a „mindenkinek több embert kell megismernie” nem elegendő, sőt rossz minőségű közegben kontraproduktív lehet.</x:v>
      </x:c>
      <x:c r="E12" s="22" t="str">
        <x:v>Social Relationships and Health: A Flashpoint for Health Policy</x:v>
      </x:c>
      <x:c r="F12" s="22" t="str">
        <x:v>Debra Umberson, Jennifer Karas Montez</x:v>
      </x:c>
      <x:c r="G12" s="22" t="n">
        <x:v>2010</x:v>
      </x:c>
      <x:c r="H12" s="22" t="str">
        <x:v>https://pmc.ncbi.nlm.nih.gov/articles/PMC3150158/</x:v>
      </x:c>
      <x:c r="I12" s="22" t="str">
        <x:v>10.1177/0022146510383501</x:v>
      </x:c>
      <x:c r="J12" s="22" t="str">
        <x:v>Teljes lektorált cikk ellenőrizve a kiadói kézirattárban 2026-08-25</x:v>
      </x:c>
      <x:c r="K12" s="22" t="str">
        <x:v>peer_reviewed_review</x:v>
      </x:c>
      <x:c r="L12" s="22" t="str">
        <x:v>kapcsolatminoseg, biztonsagos_kozosseg</x:v>
      </x:c>
      <x:c r="M12" s="39" t="str">
        <x:v>published</x:v>
      </x:c>
      <x:c r="N12" s="22" t="str">
        <x:v>Az állítás szövege változtatás nélkül került át a forrásmunkafüzetből.</x:v>
      </x:c>
    </x:row>
    <x:row r="13" ht="72" customHeight="1">
      <x:c r="A13" s="38" t="n">
        <x:v>121</x:v>
      </x:c>
      <x:c r="B13" s="38" t="n">
        <x:v>122</x:v>
      </x:c>
      <x:c r="C13" s="39" t="str">
        <x:v>hu-HU</x:v>
      </x:c>
      <x:c r="D13" s="22" t="str">
        <x:v>A társas támogatás több formából áll: érzelmi, instrumentális/gyakorlati, információs és értékelő támogatás. Egy stresszhelyzetben nem biztos, hogy ugyanaz a forma segít, mint egy másikban.</x:v>
      </x:c>
      <x:c r="E13" s="22" t="str">
        <x:v>Stress, Social Support, and the Buffering Hypothesis</x:v>
      </x:c>
      <x:c r="F13" s="22" t="str">
        <x:v>Sheldon Cohen, Thomas A. Wills</x:v>
      </x:c>
      <x:c r="G13" s="22" t="n">
        <x:v>1985</x:v>
      </x:c>
      <x:c r="H13" s="22" t="str">
        <x:v>https://doi.org/10.1037/0033-2909.98.2.310</x:v>
      </x:c>
      <x:c r="I13" s="22" t="str">
        <x:v>10.1037/0033-2909.98.2.310</x:v>
      </x:c>
      <x:c r="J13" s="22" t="str">
        <x:v>DOI bibliográfia és a forrás absztraktja ellenőrizve 2026-08-25</x:v>
      </x:c>
      <x:c r="K13" s="22" t="str">
        <x:v>peer_reviewed_review</x:v>
      </x:c>
      <x:c r="L13" s="22" t="str">
        <x:v>tarsas_tamogatas, stressz, kolcsonos_segites</x:v>
      </x:c>
      <x:c r="M13" s="39" t="str">
        <x:v>published</x:v>
      </x:c>
      <x:c r="N13" s="22" t="str">
        <x:v>Az állítás szövege változtatás nélkül került át a forrásmunkafüzetből.</x:v>
      </x:c>
    </x:row>
    <x:row r="14" ht="72" customHeight="1">
      <x:c r="A14" s="38" t="n">
        <x:v>185</x:v>
      </x:c>
      <x:c r="B14" s="38" t="n">
        <x:v>186</x:v>
      </x:c>
      <x:c r="C14" s="39" t="str">
        <x:v>hu-HU</x:v>
      </x:c>
      <x:c r="D14" s="22" t="str">
        <x:v>A társas támogatás akkor működik jobban, ha a támogatás formája illeszkedik a problémához: információra nem mindig vigasz, gyakorlati teherre nem mindig tanács a legjobb válasz.</x:v>
      </x:c>
      <x:c r="E14" s="22" t="str">
        <x:v>Stress, Social Support, and the Buffering Hypothesis</x:v>
      </x:c>
      <x:c r="F14" s="22" t="str">
        <x:v>Sheldon Cohen, Thomas A. Wills</x:v>
      </x:c>
      <x:c r="G14" s="22" t="n">
        <x:v>1985</x:v>
      </x:c>
      <x:c r="H14" s="22" t="str">
        <x:v>https://doi.org/10.1037/0033-2909.98.2.310</x:v>
      </x:c>
      <x:c r="I14" s="22" t="str">
        <x:v>10.1037/0033-2909.98.2.310</x:v>
      </x:c>
      <x:c r="J14" s="22" t="str">
        <x:v>DOI bibliográfia és a forrás absztraktja ellenőrizve 2026-08-25</x:v>
      </x:c>
      <x:c r="K14" s="22" t="str">
        <x:v>peer_reviewed_review</x:v>
      </x:c>
      <x:c r="L14" s="22" t="str">
        <x:v>tarsas_tamogatas, stressz, kolcsonos_segites</x:v>
      </x:c>
      <x:c r="M14" s="39" t="str">
        <x:v>published</x:v>
      </x:c>
      <x:c r="N14" s="22" t="str">
        <x:v>Az állítás szövege változtatás nélkül került át a forrásmunkafüzetből.</x:v>
      </x:c>
    </x:row>
    <x:row r="15" ht="72" customHeight="1">
      <x:c r="A15" s="38" t="n">
        <x:v>200</x:v>
      </x:c>
      <x:c r="B15" s="38" t="n">
        <x:v>201</x:v>
      </x:c>
      <x:c r="C15" s="39" t="str">
        <x:v>hu-HU</x:v>
      </x:c>
      <x:c r="D15" s="22" t="str">
        <x:v>A klasszikus lakóközösségi kutatásban a fizikai elrendezés – például lépcsők, közlekedési útvonalak, bejáratok – befolyásolta, ki kivel találkozik és barátkozik.</x:v>
      </x:c>
      <x:c r="E15" s="22" t="str">
        <x:v>Social Pressures in Informal Groups</x:v>
      </x:c>
      <x:c r="F15" s="22" t="str">
        <x:v>Leon Festinger, Stanley Schachter, Kurt Back</x:v>
      </x:c>
      <x:c r="G15" s="22" t="n">
        <x:v>1950</x:v>
      </x:c>
      <x:c r="H15" s="22" t="str">
        <x:v>https://books.google.com/books/about/Social_Pressures_in_Informal_Groups.html?id=J24AAAAAMAAJ</x:v>
      </x:c>
      <x:c r="I15" s="22"/>
      <x:c r="J15" s="22" t="str">
        <x:v>Kiadás, szerzők és év bibliográfiai rekordja ellenőrizve 2026-08-25</x:v>
      </x:c>
      <x:c r="K15" s="22" t="str">
        <x:v>research_monograph</x:v>
      </x:c>
      <x:c r="L15" s="22" t="str">
        <x:v>ismetelt_talalkozas, kozossegi_ter, kozeliseg</x:v>
      </x:c>
      <x:c r="M15" s="39" t="str">
        <x:v>published</x:v>
      </x:c>
      <x:c r="N15" s="22" t="str">
        <x:v>Az állítás szövege változtatás nélkül került át a forrásmunkafüzetből.</x:v>
      </x:c>
    </x:row>
    <x:row r="16" ht="72" customHeight="1">
      <x:c r="A16" s="38" t="n">
        <x:v>201</x:v>
      </x:c>
      <x:c r="B16" s="38" t="n">
        <x:v>202</x:v>
      </x:c>
      <x:c r="C16" s="39" t="str">
        <x:v>hu-HU</x:v>
      </x:c>
      <x:c r="D16" s="22" t="str">
        <x:v>A „propinquity” vagy közelségi hatás mai tanulsága: egy közösségi app nem elég; a jó helyszín, időpont, megközelíthetőség és ismétlődő találkozási minta is a kapcsolat infrastruktúrája.</x:v>
      </x:c>
      <x:c r="E16" s="22" t="str">
        <x:v>Social Pressures in Informal Groups</x:v>
      </x:c>
      <x:c r="F16" s="22" t="str">
        <x:v>Festinger, Schachter, Back</x:v>
      </x:c>
      <x:c r="G16" s="22" t="n">
        <x:v>1950</x:v>
      </x:c>
      <x:c r="H16" s="22" t="str">
        <x:v>https://books.google.com/books/about/Social_Pressures_in_Informal_Groups.html?id=J24AAAAAMAAJ</x:v>
      </x:c>
      <x:c r="I16" s="22"/>
      <x:c r="J16" s="22" t="str">
        <x:v>Kiadás, szerzők és év bibliográfiai rekordja ellenőrizve 2026-08-25</x:v>
      </x:c>
      <x:c r="K16" s="22" t="str">
        <x:v>research_monograph</x:v>
      </x:c>
      <x:c r="L16" s="22" t="str">
        <x:v>ismetelt_talalkozas, kozossegi_ter, kozeliseg</x:v>
      </x:c>
      <x:c r="M16" s="39" t="str">
        <x:v>published</x:v>
      </x:c>
      <x:c r="N16" s="22" t="str">
        <x:v>Az állítás szövege változtatás nélkül került át a forrásmunkafüzetből.</x:v>
      </x:c>
    </x:row>
    <x:row r="17" ht="72" customHeight="1">
      <x:c r="A17" s="38" t="n">
        <x:v>202</x:v>
      </x:c>
      <x:c r="B17" s="38" t="n">
        <x:v>203</x:v>
      </x:c>
      <x:c r="C17" s="39" t="str">
        <x:v>hu-HU</x:v>
      </x:c>
      <x:c r="D17" s="22" t="str">
        <x:v>A „mere exposure” jelenség szerint az ismétlődő találkozás sok esetben növelheti a kedvelést, ha az élmény semleges vagy pozitív; ez nem működik káros, fenyegető vagy kényszerített helyzetben.</x:v>
      </x:c>
      <x:c r="E17" s="22" t="str">
        <x:v>Attitudinal Effects of Mere Exposure</x:v>
      </x:c>
      <x:c r="F17" s="22" t="str">
        <x:v>Robert B. Zajonc</x:v>
      </x:c>
      <x:c r="G17" s="22" t="n">
        <x:v>1968</x:v>
      </x:c>
      <x:c r="H17" s="22" t="str">
        <x:v>https://doi.org/10.1037/h0025848</x:v>
      </x:c>
      <x:c r="I17" s="22" t="str">
        <x:v>10.1037/h0025848</x:v>
      </x:c>
      <x:c r="J17" s="22" t="str">
        <x:v>Kiadói DOI-metaadat és absztrakt ellenőrizve 2026-08-25</x:v>
      </x:c>
      <x:c r="K17" s="22" t="str">
        <x:v>peer_reviewed_article</x:v>
      </x:c>
      <x:c r="L17" s="22" t="str">
        <x:v>ismetelt_talalkozas, biztonsag, pozitiv_elmeny</x:v>
      </x:c>
      <x:c r="M17" s="39" t="str">
        <x:v>published</x:v>
      </x:c>
      <x:c r="N17" s="22" t="str">
        <x:v>Az állítás szövege változtatás nélkül került át a forrásmunkafüzetből.</x:v>
      </x:c>
    </x:row>
    <x:row r="18" ht="72" customHeight="1">
      <x:c r="A18" s="38" t="n">
        <x:v>205</x:v>
      </x:c>
      <x:c r="B18" s="38" t="n">
        <x:v>206</x:v>
      </x:c>
      <x:c r="C18" s="39" t="str">
        <x:v>hu-HU</x:v>
      </x:c>
      <x:c r="D18" s="22" t="str">
        <x:v>A „gyenge kötések” – nem intim ismerősök – meglepően fontos szerepet tölthetnek be új információk, munkalehetőségek és más közösségek felé vezető hidak szempontjából.</x:v>
      </x:c>
      <x:c r="E18" s="22" t="str">
        <x:v>The Strength of Weak Ties</x:v>
      </x:c>
      <x:c r="F18" s="22" t="str">
        <x:v>Mark S. Granovetter</x:v>
      </x:c>
      <x:c r="G18" s="22" t="n">
        <x:v>1973</x:v>
      </x:c>
      <x:c r="H18" s="22" t="str">
        <x:v>https://www.journals.uchicago.edu/doi/10.1086/225469</x:v>
      </x:c>
      <x:c r="I18" s="22" t="str">
        <x:v>10.1086/225469</x:v>
      </x:c>
      <x:c r="J18" s="22" t="str">
        <x:v>Elsődleges kiadói cikkoldal és absztrakt ellenőrizve 2026-08-25</x:v>
      </x:c>
      <x:c r="K18" s="22" t="str">
        <x:v>peer_reviewed_article</x:v>
      </x:c>
      <x:c r="L18" s="22" t="str">
        <x:v>gyenge_kotesek, kozossegi_hidak, uj_lehetosegek</x:v>
      </x:c>
      <x:c r="M18" s="39" t="str">
        <x:v>published</x:v>
      </x:c>
      <x:c r="N18" s="22" t="str">
        <x:v>Az állítás szövege változtatás nélkül került át a forrásmunkafüzetből.</x:v>
      </x:c>
    </x:row>
    <x:row r="19" ht="72" customHeight="1">
      <x:c r="A19" s="38" t="n">
        <x:v>206</x:v>
      </x:c>
      <x:c r="B19" s="38" t="n">
        <x:v>207</x:v>
      </x:c>
      <x:c r="C19" s="39" t="str">
        <x:v>hu-HU</x:v>
      </x:c>
      <x:c r="D19" s="22" t="str">
        <x:v>Egy ember közösségi jóllétéhez nem csak néhány nagyon közeli kapcsolat számít: a laza ismerősi háló és a rendszeres, alacsony intenzitású találkozások is társadalmi erőforrások lehetnek.</x:v>
      </x:c>
      <x:c r="E19" s="22" t="str">
        <x:v>The Strength of Weak Ties</x:v>
      </x:c>
      <x:c r="F19" s="22" t="str">
        <x:v>Mark S. Granovetter</x:v>
      </x:c>
      <x:c r="G19" s="22" t="n">
        <x:v>1973</x:v>
      </x:c>
      <x:c r="H19" s="22" t="str">
        <x:v>https://www.journals.uchicago.edu/doi/10.1086/225469</x:v>
      </x:c>
      <x:c r="I19" s="22" t="str">
        <x:v>10.1086/225469</x:v>
      </x:c>
      <x:c r="J19" s="22" t="str">
        <x:v>Elsődleges kiadói cikkoldal és absztrakt ellenőrizve 2026-08-25</x:v>
      </x:c>
      <x:c r="K19" s="22" t="str">
        <x:v>peer_reviewed_article</x:v>
      </x:c>
      <x:c r="L19" s="22" t="str">
        <x:v>gyenge_kotesek, kozossegi_hidak, uj_lehetosegek</x:v>
      </x:c>
      <x:c r="M19" s="39" t="str">
        <x:v>published</x:v>
      </x:c>
      <x:c r="N19" s="22" t="str">
        <x:v>Az állítás szövege változtatás nélkül került át a forrásmunkafüzetből.</x:v>
      </x:c>
    </x:row>
    <x:row r="20" ht="72" customHeight="1">
      <x:c r="A20" s="38" t="n">
        <x:v>301</x:v>
      </x:c>
      <x:c r="B20" s="38" t="n">
        <x:v>302</x:v>
      </x:c>
      <x:c r="C20" s="39" t="str">
        <x:v>hu-HU</x:v>
      </x:c>
      <x:c r="D20" s="22" t="str">
        <x:v>A fizikai tér formája befolyásolhatja, ki kivel találkozik: a klasszikus lakóközösségi kutatásban a közlekedési útvonalak, lépcsők és bejáratok a barátkozási mintázatokkal is összefüggtek.</x:v>
      </x:c>
      <x:c r="E20" s="22" t="str">
        <x:v>Social Pressures in Informal Groups</x:v>
      </x:c>
      <x:c r="F20" s="22" t="str">
        <x:v>Leon Festinger, Stanley Schachter, Kurt Back</x:v>
      </x:c>
      <x:c r="G20" s="22" t="n">
        <x:v>1950</x:v>
      </x:c>
      <x:c r="H20" s="22" t="str">
        <x:v>https://books.google.com/books/about/Social_Pressures_in_Informal_Groups.html?id=J24AAAAAMAAJ</x:v>
      </x:c>
      <x:c r="I20" s="22"/>
      <x:c r="J20" s="22" t="str">
        <x:v>Kiadás, szerzők és év bibliográfiai rekordja ellenőrizve 2026-08-25</x:v>
      </x:c>
      <x:c r="K20" s="22" t="str">
        <x:v>research_monograph</x:v>
      </x:c>
      <x:c r="L20" s="22" t="str">
        <x:v>ismetelt_talalkozas, kozossegi_ter, kozeliseg</x:v>
      </x:c>
      <x:c r="M20" s="39" t="str">
        <x:v>published</x:v>
      </x:c>
      <x:c r="N20" s="22" t="str">
        <x:v>Az állítás szövege változtatás nélkül került át a forrásmunkafüzetből.</x:v>
      </x:c>
    </x:row>
    <x:row r="21" ht="72" customHeight="1">
      <x:c r="A21" s="38" t="n">
        <x:v>302</x:v>
      </x:c>
      <x:c r="B21" s="38" t="n">
        <x:v>303</x:v>
      </x:c>
      <x:c r="C21" s="39" t="str">
        <x:v>hu-HU</x:v>
      </x:c>
      <x:c r="D21" s="22" t="str">
        <x:v>A tér tehát nem semleges háttér: az elkerülhetetlen, de nem kényszerítő mikro-találkozások – folyosó, pad, kávépont, közös bejárat – kapcsolatépítő lehetőségeket teremthetnek.</x:v>
      </x:c>
      <x:c r="E21" s="22" t="str">
        <x:v>Social Pressures in Informal Groups</x:v>
      </x:c>
      <x:c r="F21" s="22" t="str">
        <x:v>Festinger, Schachter, Back</x:v>
      </x:c>
      <x:c r="G21" s="22" t="n">
        <x:v>1950</x:v>
      </x:c>
      <x:c r="H21" s="22" t="str">
        <x:v>https://books.google.com/books/about/Social_Pressures_in_Informal_Groups.html?id=J24AAAAAMAAJ</x:v>
      </x:c>
      <x:c r="I21" s="22"/>
      <x:c r="J21" s="22" t="str">
        <x:v>Kiadás, szerzők és év bibliográfiai rekordja ellenőrizve 2026-08-25</x:v>
      </x:c>
      <x:c r="K21" s="22" t="str">
        <x:v>research_monograph</x:v>
      </x:c>
      <x:c r="L21" s="22" t="str">
        <x:v>ismetelt_talalkozas, kozossegi_ter, kozeliseg</x:v>
      </x:c>
      <x:c r="M21" s="39" t="str">
        <x:v>published</x:v>
      </x:c>
      <x:c r="N21" s="22" t="str">
        <x:v>Az állítás szövege változtatás nélkül került át a forrásmunkafüzetből.</x:v>
      </x:c>
    </x:row>
    <x:row r="22" ht="72" customHeight="1">
      <x:c r="A22" s="38" t="n">
        <x:v>308</x:v>
      </x:c>
      <x:c r="B22" s="38" t="n">
        <x:v>309</x:v>
      </x:c>
      <x:c r="C22" s="39" t="str">
        <x:v>hu-HU</x:v>
      </x:c>
      <x:c r="D22" s="22" t="str">
        <x:v>A magány csökkentésére alkalmas tér nem lehet csak a mobilis, jól kereső, „magabiztos” emberek tere; akadálymentesség, közlekedés, nyitvatartás, WC, ülőhely és kulturális biztonság is a kapcsolódás feltétele.</x:v>
      </x:c>
      <x:c r="E22" s="22" t="str">
        <x:v>WHO Commission on Social Connection Report</x:v>
      </x:c>
      <x:c r="F22" s="22" t="str">
        <x:v>World Health Organization</x:v>
      </x:c>
      <x:c r="G22" s="22" t="n">
        <x:v>2025</x:v>
      </x:c>
      <x:c r="H22" s="22" t="str">
        <x:v>https://www.who.int/publications/i/item/978240112360</x:v>
      </x:c>
      <x:c r="I22" s="22"/>
      <x:c r="J22" s="22" t="str">
        <x:v>WHO elsődleges jelentésoldal és teljes jelentés ellenőrizve 2026-08-25</x:v>
      </x:c>
      <x:c r="K22" s="22" t="str">
        <x:v>institutional_report</x:v>
      </x:c>
      <x:c r="L22" s="22" t="str">
        <x:v>tarsas_infrastruktura, hozzaferhetoseg, befogadas, rendszerszintu_kapcsolodas</x:v>
      </x:c>
      <x:c r="M22" s="39" t="str">
        <x:v>published</x:v>
      </x:c>
      <x:c r="N22" s="22" t="str">
        <x:v>Az állítás szövege változtatás nélkül került át a forrásmunkafüzetből.</x:v>
      </x:c>
    </x:row>
    <x:row r="23" ht="72" customHeight="1">
      <x:c r="A23" s="38" t="n">
        <x:v>316</x:v>
      </x:c>
      <x:c r="B23" s="38" t="n">
        <x:v>317</x:v>
      </x:c>
      <x:c r="C23" s="39" t="str">
        <x:v>hu-HU</x:v>
      </x:c>
      <x:c r="D23" s="22" t="str">
        <x:v>A közösségi terekben kialakuló laza ismeretségek – boltos, könyvtáros, szomszéd, edző, rendszeres látogató – nem jelentéktelenek: társas felismerést és új információs hidakat adhatnak.</x:v>
      </x:c>
      <x:c r="E23" s="22" t="str">
        <x:v>The Strength of Weak Ties</x:v>
      </x:c>
      <x:c r="F23" s="22" t="str">
        <x:v>Mark S. Granovetter</x:v>
      </x:c>
      <x:c r="G23" s="22" t="n">
        <x:v>1973</x:v>
      </x:c>
      <x:c r="H23" s="22" t="str">
        <x:v>https://www.journals.uchicago.edu/doi/10.1086/225469</x:v>
      </x:c>
      <x:c r="I23" s="22" t="str">
        <x:v>10.1086/225469</x:v>
      </x:c>
      <x:c r="J23" s="22" t="str">
        <x:v>Elsődleges kiadói cikkoldal és absztrakt ellenőrizve 2026-08-25</x:v>
      </x:c>
      <x:c r="K23" s="22" t="str">
        <x:v>peer_reviewed_article</x:v>
      </x:c>
      <x:c r="L23" s="22" t="str">
        <x:v>gyenge_kotesek, kozossegi_hidak, uj_lehetosegek</x:v>
      </x:c>
      <x:c r="M23" s="39" t="str">
        <x:v>published</x:v>
      </x:c>
      <x:c r="N23" s="22" t="str">
        <x:v>Az állítás szövege változtatás nélkül került át a forrásmunkafüzetből.</x:v>
      </x:c>
    </x:row>
    <x:row r="24" ht="72" customHeight="1">
      <x:c r="A24" s="38" t="n">
        <x:v>317</x:v>
      </x:c>
      <x:c r="B24" s="38" t="n">
        <x:v>318</x:v>
      </x:c>
      <x:c r="C24" s="39" t="str">
        <x:v>hu-HU</x:v>
      </x:c>
      <x:c r="D24" s="22" t="str">
        <x:v>A laza ismeretségek értéke különösen akkor nő, amikor valakinek új közösségbe, munkába, szolgáltatásba vagy érdeklődési körbe kell belépnie.</x:v>
      </x:c>
      <x:c r="E24" s="22" t="str">
        <x:v>The Strength of Weak Ties</x:v>
      </x:c>
      <x:c r="F24" s="22" t="str">
        <x:v>Mark S. Granovetter</x:v>
      </x:c>
      <x:c r="G24" s="22" t="n">
        <x:v>1973</x:v>
      </x:c>
      <x:c r="H24" s="22" t="str">
        <x:v>https://www.journals.uchicago.edu/doi/10.1086/225469</x:v>
      </x:c>
      <x:c r="I24" s="22" t="str">
        <x:v>10.1086/225469</x:v>
      </x:c>
      <x:c r="J24" s="22" t="str">
        <x:v>Elsődleges kiadói cikkoldal és absztrakt ellenőrizve 2026-08-25</x:v>
      </x:c>
      <x:c r="K24" s="22" t="str">
        <x:v>peer_reviewed_article</x:v>
      </x:c>
      <x:c r="L24" s="22" t="str">
        <x:v>gyenge_kotesek, kozossegi_hidak, uj_lehetosegek</x:v>
      </x:c>
      <x:c r="M24" s="39" t="str">
        <x:v>published</x:v>
      </x:c>
      <x:c r="N24" s="22" t="str">
        <x:v>Az állítás szövege változtatás nélkül került át a forrásmunkafüzetből.</x:v>
      </x:c>
    </x:row>
    <x:row r="25" ht="72" customHeight="1">
      <x:c r="A25" s="38" t="n">
        <x:v>322</x:v>
      </x:c>
      <x:c r="B25" s="38" t="n">
        <x:v>323</x:v>
      </x:c>
      <x:c r="C25" s="39" t="str">
        <x:v>hu-HU</x:v>
      </x:c>
      <x:c r="D25" s="22" t="str">
        <x:v>A gyakori találkozás nem garantál jó kapcsolatot; a mere exposure hatás főleg semleges vagy pozitív élményben működik, ezért a térnek konfliktuskezelési, moderációs és biztonsági normákra is szüksége lehet.</x:v>
      </x:c>
      <x:c r="E25" s="22" t="str">
        <x:v>Attitudinal Effects of Mere Exposure</x:v>
      </x:c>
      <x:c r="F25" s="22" t="str">
        <x:v>Robert B. Zajonc</x:v>
      </x:c>
      <x:c r="G25" s="22" t="n">
        <x:v>1968</x:v>
      </x:c>
      <x:c r="H25" s="22" t="str">
        <x:v>https://doi.org/10.1037/h0025848</x:v>
      </x:c>
      <x:c r="I25" s="22" t="str">
        <x:v>10.1037/h0025848</x:v>
      </x:c>
      <x:c r="J25" s="22" t="str">
        <x:v>Kiadói DOI-metaadat és absztrakt ellenőrizve 2026-08-25</x:v>
      </x:c>
      <x:c r="K25" s="22" t="str">
        <x:v>peer_reviewed_article</x:v>
      </x:c>
      <x:c r="L25" s="22" t="str">
        <x:v>ismetelt_talalkozas, biztonsag, pozitiv_elmeny</x:v>
      </x:c>
      <x:c r="M25" s="39" t="str">
        <x:v>published</x:v>
      </x:c>
      <x:c r="N25" s="22" t="str">
        <x:v>Az állítás szövege változtatás nélkül került át a forrásmunkafüzetből.</x:v>
      </x:c>
    </x:row>
    <x:row r="26" ht="72" customHeight="1">
      <x:c r="A26" s="38" t="n">
        <x:v>398</x:v>
      </x:c>
      <x:c r="B26" s="38" t="n">
        <x:v>399</x:v>
      </x:c>
      <x:c r="C26" s="39" t="str">
        <x:v>hu-HU</x:v>
      </x:c>
      <x:c r="D26" s="22" t="str">
        <x:v>A WHO 2025-ös jelentése a társas kapcsolatot egészség- és jólléti meghatározóként kezeli, nem pusztán személyes életstílusválasztásként.</x:v>
      </x:c>
      <x:c r="E26" s="22" t="str">
        <x:v>From Loneliness to Social Connection: Charting a Path to Healthier Societies</x:v>
      </x:c>
      <x:c r="F26" s="22" t="str">
        <x:v>WHO Commission on Social Connection</x:v>
      </x:c>
      <x:c r="G26" s="22" t="n">
        <x:v>2025</x:v>
      </x:c>
      <x:c r="H26" s="22" t="str">
        <x:v>https://www.who.int/publications/i/item/978240112360</x:v>
      </x:c>
      <x:c r="I26" s="22"/>
      <x:c r="J26" s="22" t="str">
        <x:v>WHO elsődleges jelentésoldal és teljes jelentés ellenőrizve 2026-08-25</x:v>
      </x:c>
      <x:c r="K26" s="22" t="str">
        <x:v>institutional_report</x:v>
      </x:c>
      <x:c r="L26" s="22" t="str">
        <x:v>tarsas_infrastruktura, hozzaferhetoseg, befogadas, rendszerszintu_kapcsolodas</x:v>
      </x:c>
      <x:c r="M26" s="39" t="str">
        <x:v>published</x:v>
      </x:c>
      <x:c r="N26" s="22" t="str">
        <x:v>Az állítás szövege változtatás nélkül került át a forrásmunkafüzetből.</x:v>
      </x:c>
    </x:row>
    <x:row r="27" ht="72" customHeight="1">
      <x:c r="A27" s="38" t="n">
        <x:v>399</x:v>
      </x:c>
      <x:c r="B27" s="38" t="n">
        <x:v>400</x:v>
      </x:c>
      <x:c r="C27" s="39" t="str">
        <x:v>hu-HU</x:v>
      </x:c>
      <x:c r="D27" s="22" t="str">
        <x:v>A WHO megközelítése szerint az izoláció csökkentéséhez egészségügy, oktatás, munka, helyi közösség, közlekedés, lakhatás és digitális környezet szintjén is szükség lehet beavatkozásra.</x:v>
      </x:c>
      <x:c r="E27" s="22" t="str">
        <x:v>From Loneliness to Social Connection</x:v>
      </x:c>
      <x:c r="F27" s="22" t="str">
        <x:v>World Health Organization</x:v>
      </x:c>
      <x:c r="G27" s="22" t="n">
        <x:v>2025</x:v>
      </x:c>
      <x:c r="H27" s="22" t="str">
        <x:v>https://www.who.int/publications/i/item/978240112360</x:v>
      </x:c>
      <x:c r="I27" s="22"/>
      <x:c r="J27" s="22" t="str">
        <x:v>WHO elsődleges jelentésoldal és teljes jelentés ellenőrizve 2026-08-25</x:v>
      </x:c>
      <x:c r="K27" s="22" t="str">
        <x:v>institutional_report</x:v>
      </x:c>
      <x:c r="L27" s="22" t="str">
        <x:v>tarsas_infrastruktura, hozzaferhetoseg, befogadas, rendszerszintu_kapcsolodas</x:v>
      </x:c>
      <x:c r="M27" s="39" t="str">
        <x:v>published</x:v>
      </x:c>
      <x:c r="N27" s="22" t="str">
        <x:v>Az állítás szövege változtatás nélkül került át a forrásmunkafüzetből.</x:v>
      </x:c>
    </x:row>
    <x:row r="28" ht="72" customHeight="1">
      <x:c r="A28" s="38" t="n">
        <x:v>435</x:v>
      </x:c>
      <x:c r="B28" s="38" t="n">
        <x:v>436</x:v>
      </x:c>
      <x:c r="C28" s="39" t="str">
        <x:v>hu-HU</x:v>
      </x:c>
      <x:c r="D28" s="22" t="str">
        <x:v>A felnőttkori kapcsolatok nem csak család és párkapcsolat: barátok, szomszédok, munkatársak, mentorok, közösségi társak és laza ismerősök is jelentős társas erőforrások lehetnek.</x:v>
      </x:c>
      <x:c r="E28" s="22" t="str">
        <x:v>The Strength of Weak Ties</x:v>
      </x:c>
      <x:c r="F28" s="22" t="str">
        <x:v>Mark S. Granovetter</x:v>
      </x:c>
      <x:c r="G28" s="22" t="n">
        <x:v>1973</x:v>
      </x:c>
      <x:c r="H28" s="22" t="str">
        <x:v>https://www.journals.uchicago.edu/doi/10.1086/225469</x:v>
      </x:c>
      <x:c r="I28" s="22" t="str">
        <x:v>10.1086/225469</x:v>
      </x:c>
      <x:c r="J28" s="22" t="str">
        <x:v>Elsődleges kiadói cikkoldal és absztrakt ellenőrizve 2026-08-25</x:v>
      </x:c>
      <x:c r="K28" s="22" t="str">
        <x:v>peer_reviewed_article</x:v>
      </x:c>
      <x:c r="L28" s="22" t="str">
        <x:v>gyenge_kotesek, kozossegi_hidak, uj_lehetosegek</x:v>
      </x:c>
      <x:c r="M28" s="39" t="str">
        <x:v>published</x:v>
      </x:c>
      <x:c r="N28" s="22" t="str">
        <x:v>Az állítás szövege változtatás nélkül került át a forrásmunkafüzetből.</x:v>
      </x:c>
    </x:row>
    <x:row r="29" ht="72" customHeight="1">
      <x:c r="A29" s="38" t="n">
        <x:v>436</x:v>
      </x:c>
      <x:c r="B29" s="38" t="n">
        <x:v>437</x:v>
      </x:c>
      <x:c r="C29" s="39" t="str">
        <x:v>hu-HU</x:v>
      </x:c>
      <x:c r="D29" s="22" t="str">
        <x:v>A gyenge kötések új lehetőségekhez és információkhoz vezető társas hidak lehetnek; ezért a laza kapcsolatok elvesztése társadalmi mobilitási és közösségi veszteség is lehet.</x:v>
      </x:c>
      <x:c r="E29" s="22" t="str">
        <x:v>The Strength of Weak Ties</x:v>
      </x:c>
      <x:c r="F29" s="22" t="str">
        <x:v>Mark S. Granovetter</x:v>
      </x:c>
      <x:c r="G29" s="22" t="n">
        <x:v>1973</x:v>
      </x:c>
      <x:c r="H29" s="22" t="str">
        <x:v>https://www.journals.uchicago.edu/doi/10.1086/225469</x:v>
      </x:c>
      <x:c r="I29" s="22" t="str">
        <x:v>10.1086/225469</x:v>
      </x:c>
      <x:c r="J29" s="22" t="str">
        <x:v>Elsődleges kiadói cikkoldal és absztrakt ellenőrizve 2026-08-25</x:v>
      </x:c>
      <x:c r="K29" s="22" t="str">
        <x:v>peer_reviewed_article</x:v>
      </x:c>
      <x:c r="L29" s="22" t="str">
        <x:v>gyenge_kotesek, kozossegi_hidak, uj_lehetosegek</x:v>
      </x:c>
      <x:c r="M29" s="39" t="str">
        <x:v>published</x:v>
      </x:c>
      <x:c r="N29" s="22" t="str">
        <x:v>Az állítás szövege változtatás nélkül került át a forrásmunkafüzetből.</x:v>
      </x:c>
    </x:row>
    <x:row r="30" ht="72" customHeight="1">
      <x:c r="A30" s="38" t="n">
        <x:v>443</x:v>
      </x:c>
      <x:c r="B30" s="38" t="n">
        <x:v>444</x:v>
      </x:c>
      <x:c r="C30" s="39" t="str">
        <x:v>hu-HU</x:v>
      </x:c>
      <x:c r="D30" s="22" t="str">
        <x:v>A kapcsolatok fejlődése nem csak személyes készség, hanem hely- és időfüggő folyamat: a gyakori, könnyű találkozás lehetősége elősegítheti a barátságkialakulást.</x:v>
      </x:c>
      <x:c r="E30" s="22" t="str">
        <x:v>Social Pressures in Informal Groups</x:v>
      </x:c>
      <x:c r="F30" s="22" t="str">
        <x:v>Leon Festinger, Stanley Schachter, Kurt Back</x:v>
      </x:c>
      <x:c r="G30" s="22" t="n">
        <x:v>1950</x:v>
      </x:c>
      <x:c r="H30" s="22" t="str">
        <x:v>https://books.google.com/books/about/Social_Pressures_in_Informal_Groups.html?id=J24AAAAAMAAJ</x:v>
      </x:c>
      <x:c r="I30" s="22"/>
      <x:c r="J30" s="22" t="str">
        <x:v>Kiadás, szerzők és év bibliográfiai rekordja ellenőrizve 2026-08-25</x:v>
      </x:c>
      <x:c r="K30" s="22" t="str">
        <x:v>research_monograph</x:v>
      </x:c>
      <x:c r="L30" s="22" t="str">
        <x:v>ismetelt_talalkozas, kozossegi_ter, kozeliseg</x:v>
      </x:c>
      <x:c r="M30" s="39" t="str">
        <x:v>published</x:v>
      </x:c>
      <x:c r="N30" s="22" t="str">
        <x:v>Az állítás szövege változtatás nélkül került át a forrásmunkafüzetből.</x:v>
      </x:c>
    </x:row>
    <x:row r="31" ht="72" customHeight="1">
      <x:c r="A31" s="38" t="n">
        <x:v>444</x:v>
      </x:c>
      <x:c r="B31" s="38" t="n">
        <x:v>445</x:v>
      </x:c>
      <x:c r="C31" s="39" t="str">
        <x:v>hu-HU</x:v>
      </x:c>
      <x:c r="D31" s="22" t="str">
        <x:v>A lakókörnyezet fizikai elrendezése a klasszikus kutatásban befolyásolta, kik találkoztak többet és kik barátkoztak össze.</x:v>
      </x:c>
      <x:c r="E31" s="22" t="str">
        <x:v>Social Pressures in Informal Groups</x:v>
      </x:c>
      <x:c r="F31" s="22" t="str">
        <x:v>Festinger, Schachter, Back</x:v>
      </x:c>
      <x:c r="G31" s="22" t="n">
        <x:v>1950</x:v>
      </x:c>
      <x:c r="H31" s="22" t="str">
        <x:v>https://books.google.com/books/about/Social_Pressures_in_Informal_Groups.html?id=J24AAAAAMAAJ</x:v>
      </x:c>
      <x:c r="I31" s="22"/>
      <x:c r="J31" s="22" t="str">
        <x:v>Kiadás, szerzők és év bibliográfiai rekordja ellenőrizve 2026-08-25</x:v>
      </x:c>
      <x:c r="K31" s="22" t="str">
        <x:v>research_monograph</x:v>
      </x:c>
      <x:c r="L31" s="22" t="str">
        <x:v>ismetelt_talalkozas, kozossegi_ter, kozeliseg</x:v>
      </x:c>
      <x:c r="M31" s="39" t="str">
        <x:v>published</x:v>
      </x:c>
      <x:c r="N31" s="22" t="str">
        <x:v>Az állítás szövege változtatás nélkül került át a forrásmunkafüzetből.</x:v>
      </x:c>
    </x:row>
    <x:row r="32" ht="72" customHeight="1">
      <x:c r="A32" s="38" t="n">
        <x:v>450</x:v>
      </x:c>
      <x:c r="B32" s="38" t="n">
        <x:v>451</x:v>
      </x:c>
      <x:c r="C32" s="39" t="str">
        <x:v>hu-HU</x:v>
      </x:c>
      <x:c r="D32" s="22" t="str">
        <x:v>A pszichológiai biztonság azt jelenti, hogy valaki interperszonális kockázatot vállalhat – kérdezhet, hibát jelezhet, segítséget kérhet – megszégyenítés vagy büntetés erős félelme nélkül.</x:v>
      </x:c>
      <x:c r="E32" s="22" t="str">
        <x:v>Psychological Safety and Learning Behavior in Work Teams</x:v>
      </x:c>
      <x:c r="F32" s="22" t="str">
        <x:v>Amy C. Edmondson</x:v>
      </x:c>
      <x:c r="G32" s="22" t="n">
        <x:v>1999</x:v>
      </x:c>
      <x:c r="H32" s="22" t="str">
        <x:v>https://doi.org/10.2307/2666999</x:v>
      </x:c>
      <x:c r="I32" s="22" t="str">
        <x:v>10.2307/2666999</x:v>
      </x:c>
      <x:c r="J32" s="22" t="str">
        <x:v>Elsődleges kiadói cikkoldal és absztrakt ellenőrizve 2026-08-25</x:v>
      </x:c>
      <x:c r="K32" s="22" t="str">
        <x:v>peer_reviewed_article</x:v>
      </x:c>
      <x:c r="L32" s="22" t="str">
        <x:v>pszichologiai_biztonsag, tanulas, kolcsonos_tamogatas</x:v>
      </x:c>
      <x:c r="M32" s="39" t="str">
        <x:v>published</x:v>
      </x:c>
      <x:c r="N32" s="22" t="str">
        <x:v>Az állítás szövege változtatás nélkül került át a forrásmunkafüzetből.</x:v>
      </x:c>
    </x:row>
    <x:row r="33" ht="72" customHeight="1">
      <x:c r="A33" s="38" t="n">
        <x:v>459</x:v>
      </x:c>
      <x:c r="B33" s="38" t="n">
        <x:v>460</x:v>
      </x:c>
      <x:c r="C33" s="39" t="str">
        <x:v>hu-HU</x:v>
      </x:c>
      <x:c r="D33" s="22" t="str">
        <x:v>A befogadó közösség nem csak „mindenkit szívesen lát”: ténylegesen csökkenti a belépési költséget, világos normákat, biztonságot és részvételi szerepeket kínál.</x:v>
      </x:c>
      <x:c r="E33" s="22" t="str">
        <x:v>WHO Commission on Social Connection Report</x:v>
      </x:c>
      <x:c r="F33" s="22" t="str">
        <x:v>World Health Organization</x:v>
      </x:c>
      <x:c r="G33" s="22" t="n">
        <x:v>2025</x:v>
      </x:c>
      <x:c r="H33" s="22" t="str">
        <x:v>https://www.who.int/publications/i/item/978240112360</x:v>
      </x:c>
      <x:c r="I33" s="22"/>
      <x:c r="J33" s="22" t="str">
        <x:v>WHO elsődleges jelentésoldal és teljes jelentés ellenőrizve 2026-08-25</x:v>
      </x:c>
      <x:c r="K33" s="22" t="str">
        <x:v>institutional_report</x:v>
      </x:c>
      <x:c r="L33" s="22" t="str">
        <x:v>tarsas_infrastruktura, hozzaferhetoseg, befogadas, rendszerszintu_kapcsolodas</x:v>
      </x:c>
      <x:c r="M33" s="39" t="str">
        <x:v>published</x:v>
      </x:c>
      <x:c r="N33" s="22" t="str">
        <x:v>Az állítás szövege változtatás nélkül került át a forrásmunkafüzetből.</x:v>
      </x:c>
    </x:row>
    <x:row r="34" ht="72" customHeight="1">
      <x:c r="A34" s="38" t="n">
        <x:v>480</x:v>
      </x:c>
      <x:c r="B34" s="38" t="n">
        <x:v>481</x:v>
      </x:c>
      <x:c r="C34" s="39" t="str">
        <x:v>hu-HU</x:v>
      </x:c>
      <x:c r="D34" s="22" t="str">
        <x:v>A társas infrastruktúra igazságossági kérdés: nem elég, hogy valahol van közösségi tér; el kell érni azt időben, pénzben, mobilitással és kulturális biztonsággal is.</x:v>
      </x:c>
      <x:c r="E34" s="22" t="str">
        <x:v>WHO Commission on Social Connection Report</x:v>
      </x:c>
      <x:c r="F34" s="22" t="str">
        <x:v>WHO</x:v>
      </x:c>
      <x:c r="G34" s="22" t="n">
        <x:v>2025</x:v>
      </x:c>
      <x:c r="H34" s="22" t="str">
        <x:v>https://www.who.int/publications/i/item/978240112360</x:v>
      </x:c>
      <x:c r="I34" s="22"/>
      <x:c r="J34" s="22" t="str">
        <x:v>WHO elsődleges jelentésoldal és teljes jelentés ellenőrizve 2026-08-25</x:v>
      </x:c>
      <x:c r="K34" s="22" t="str">
        <x:v>institutional_report</x:v>
      </x:c>
      <x:c r="L34" s="22" t="str">
        <x:v>tarsas_infrastruktura, hozzaferhetoseg, befogadas, rendszerszintu_kapcsolodas</x:v>
      </x:c>
      <x:c r="M34" s="39" t="str">
        <x:v>published</x:v>
      </x:c>
      <x:c r="N34" s="22" t="str">
        <x:v>Az állítás szövege változtatás nélkül került át a forrásmunkafüzetből.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b78040e96fc43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6" hidden="0" customWidth="1"/>
    <x:col min="3" max="3" width="14" hidden="0" customWidth="1"/>
    <x:col min="4" max="4" width="45" hidden="0" customWidth="1"/>
    <x:col min="5" max="5" width="28" hidden="0" customWidth="1"/>
    <x:col min="6" max="6" width="42" hidden="0" customWidth="1"/>
    <x:col min="7" max="7" width="24" hidden="0" customWidth="1"/>
    <x:col min="8" max="8" width="14" hidden="0" customWidth="1"/>
  </x:cols>
  <x:sheetData>
    <x:row r="1" ht="30" customHeight="1">
      <x:c r="A1" s="3" t="str">
        <x:v>Ellenőrzött forrásjegyzék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Az importálható állításokhoz tartozó egyedi források és auditnyomuk.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4" t="str">
        <x:v>Forrás</x:v>
      </x:c>
      <x:c r="B4" s="33" t="str">
        <x:v>Szerző(k)</x:v>
      </x:c>
      <x:c r="C4" s="33" t="str">
        <x:v>Év</x:v>
      </x:c>
      <x:c r="D4" s="33" t="str">
        <x:v>Forrás URL</x:v>
      </x:c>
      <x:c r="E4" s="33" t="str">
        <x:v>DOI</x:v>
      </x:c>
      <x:c r="F4" s="33" t="str">
        <x:v>Ellenőrzés</x:v>
      </x:c>
      <x:c r="G4" s="33" t="str">
        <x:v>Bizonyítéktípus</x:v>
      </x:c>
      <x:c r="H4" s="15" t="str">
        <x:v>Állítások száma</x:v>
      </x:c>
    </x:row>
    <x:row r="5" ht="62" customHeight="1">
      <x:c r="A5" s="21" t="str">
        <x:v>The Strength of Weak Ties</x:v>
      </x:c>
      <x:c r="B5" s="21" t="str">
        <x:v>Mark S. Granovetter</x:v>
      </x:c>
      <x:c r="C5" s="21" t="n">
        <x:v>1973</x:v>
      </x:c>
      <x:c r="D5" s="21" t="str">
        <x:v>https://www.journals.uchicago.edu/doi/10.1086/225469</x:v>
      </x:c>
      <x:c r="E5" s="21" t="str">
        <x:v>10.1086/225469</x:v>
      </x:c>
      <x:c r="F5" s="21" t="str">
        <x:v>Elsődleges kiadói cikkoldal és absztrakt ellenőrizve 2026-08-25</x:v>
      </x:c>
      <x:c r="G5" s="21" t="str">
        <x:v>peer_reviewed_article</x:v>
      </x:c>
      <x:c r="H5" s="34" t="n">
        <x:v>7</x:v>
      </x:c>
    </x:row>
    <x:row r="6" ht="62" customHeight="1">
      <x:c r="A6" s="22" t="str">
        <x:v>The Need to Belong: Desire for Interpersonal Attachments as a Fundamental Human Motivation</x:v>
      </x:c>
      <x:c r="B6" s="22" t="str">
        <x:v>Roy F. Baumeister, Mark R. Leary</x:v>
      </x:c>
      <x:c r="C6" s="22" t="n">
        <x:v>1995</x:v>
      </x:c>
      <x:c r="D6" s="22" t="str">
        <x:v>https://pubmed.ncbi.nlm.nih.gov/7777651/</x:v>
      </x:c>
      <x:c r="E6" s="22" t="str">
        <x:v>10.1037/0033-2909.117.3.497</x:v>
      </x:c>
      <x:c r="F6" s="22" t="str">
        <x:v>PubMed bibliográfia és absztrakt ellenőrizve 2026-08-25</x:v>
      </x:c>
      <x:c r="G6" s="22" t="str">
        <x:v>peer_reviewed_review</x:v>
      </x:c>
      <x:c r="H6" s="35" t="n">
        <x:v>1</x:v>
      </x:c>
    </x:row>
    <x:row r="7" ht="62" customHeight="1">
      <x:c r="A7" s="22" t="str">
        <x:v>Stress, Social Support, and the Buffering Hypothesis</x:v>
      </x:c>
      <x:c r="B7" s="22" t="str">
        <x:v>Sheldon Cohen, Thomas A. Wills</x:v>
      </x:c>
      <x:c r="C7" s="22" t="n">
        <x:v>1985</x:v>
      </x:c>
      <x:c r="D7" s="22" t="str">
        <x:v>https://doi.org/10.1037/0033-2909.98.2.310</x:v>
      </x:c>
      <x:c r="E7" s="22" t="str">
        <x:v>10.1037/0033-2909.98.2.310</x:v>
      </x:c>
      <x:c r="F7" s="22" t="str">
        <x:v>DOI bibliográfia és a forrás absztraktja ellenőrizve 2026-08-25</x:v>
      </x:c>
      <x:c r="G7" s="22" t="str">
        <x:v>peer_reviewed_review</x:v>
      </x:c>
      <x:c r="H7" s="35" t="n">
        <x:v>4</x:v>
      </x:c>
    </x:row>
    <x:row r="8" ht="62" customHeight="1">
      <x:c r="A8" s="22" t="str">
        <x:v>From Loneliness to Social Connection: Charting a Path to Healthier Societies</x:v>
      </x:c>
      <x:c r="B8" s="22" t="str">
        <x:v>WHO Commission on Social Connection</x:v>
      </x:c>
      <x:c r="C8" s="22" t="n">
        <x:v>2025</x:v>
      </x:c>
      <x:c r="D8" s="22" t="str">
        <x:v>https://www.who.int/publications/i/item/978240112360</x:v>
      </x:c>
      <x:c r="E8" s="22"/>
      <x:c r="F8" s="22" t="str">
        <x:v>WHO elsődleges jelentésoldal és teljes jelentés ellenőrizve 2026-08-25</x:v>
      </x:c>
      <x:c r="G8" s="22" t="str">
        <x:v>institutional_report</x:v>
      </x:c>
      <x:c r="H8" s="35" t="n">
        <x:v>4</x:v>
      </x:c>
    </x:row>
    <x:row r="9" ht="62" customHeight="1">
      <x:c r="A9" s="22" t="str">
        <x:v>Social Relationships and Health: A Flashpoint for Health Policy</x:v>
      </x:c>
      <x:c r="B9" s="22" t="str">
        <x:v>Debra Umberson, Jennifer Karas Montez</x:v>
      </x:c>
      <x:c r="C9" s="22" t="n">
        <x:v>2010</x:v>
      </x:c>
      <x:c r="D9" s="22" t="str">
        <x:v>https://pmc.ncbi.nlm.nih.gov/articles/PMC3150158/</x:v>
      </x:c>
      <x:c r="E9" s="22" t="str">
        <x:v>10.1177/0022146510383501</x:v>
      </x:c>
      <x:c r="F9" s="22" t="str">
        <x:v>Teljes lektorált cikk ellenőrizve a kiadói kézirattárban 2026-08-25</x:v>
      </x:c>
      <x:c r="G9" s="22" t="str">
        <x:v>peer_reviewed_review</x:v>
      </x:c>
      <x:c r="H9" s="35" t="n">
        <x:v>1</x:v>
      </x:c>
    </x:row>
    <x:row r="10" ht="62" customHeight="1">
      <x:c r="A10" s="22" t="str">
        <x:v>Social Pressures in Informal Groups</x:v>
      </x:c>
      <x:c r="B10" s="22" t="str">
        <x:v>Leon Festinger, Stanley Schachter, Kurt Back</x:v>
      </x:c>
      <x:c r="C10" s="22" t="n">
        <x:v>1950</x:v>
      </x:c>
      <x:c r="D10" s="22" t="str">
        <x:v>https://books.google.com/books/about/Social_Pressures_in_Informal_Groups.html?id=J24AAAAAMAAJ</x:v>
      </x:c>
      <x:c r="E10" s="22"/>
      <x:c r="F10" s="22" t="str">
        <x:v>Kiadás, szerzők és év bibliográfiai rekordja ellenőrizve 2026-08-25</x:v>
      </x:c>
      <x:c r="G10" s="22" t="str">
        <x:v>research_monograph</x:v>
      </x:c>
      <x:c r="H10" s="35" t="n">
        <x:v>3</x:v>
      </x:c>
    </x:row>
    <x:row r="11" ht="62" customHeight="1">
      <x:c r="A11" s="22" t="str">
        <x:v>Social Pressures in Informal Groups</x:v>
      </x:c>
      <x:c r="B11" s="22" t="str">
        <x:v>Festinger, Schachter, Back</x:v>
      </x:c>
      <x:c r="C11" s="22" t="n">
        <x:v>1950</x:v>
      </x:c>
      <x:c r="D11" s="22" t="str">
        <x:v>https://books.google.com/books/about/Social_Pressures_in_Informal_Groups.html?id=J24AAAAAMAAJ</x:v>
      </x:c>
      <x:c r="E11" s="22"/>
      <x:c r="F11" s="22" t="str">
        <x:v>Kiadás, szerzők és év bibliográfiai rekordja ellenőrizve 2026-08-25</x:v>
      </x:c>
      <x:c r="G11" s="22" t="str">
        <x:v>research_monograph</x:v>
      </x:c>
      <x:c r="H11" s="35" t="n">
        <x:v>3</x:v>
      </x:c>
    </x:row>
    <x:row r="12" ht="62" customHeight="1">
      <x:c r="A12" s="22" t="str">
        <x:v>Attitudinal Effects of Mere Exposure</x:v>
      </x:c>
      <x:c r="B12" s="22" t="str">
        <x:v>Robert B. Zajonc</x:v>
      </x:c>
      <x:c r="C12" s="22" t="n">
        <x:v>1968</x:v>
      </x:c>
      <x:c r="D12" s="22" t="str">
        <x:v>https://doi.org/10.1037/h0025848</x:v>
      </x:c>
      <x:c r="E12" s="22" t="str">
        <x:v>10.1037/h0025848</x:v>
      </x:c>
      <x:c r="F12" s="22" t="str">
        <x:v>Kiadói DOI-metaadat és absztrakt ellenőrizve 2026-08-25</x:v>
      </x:c>
      <x:c r="G12" s="22" t="str">
        <x:v>peer_reviewed_article</x:v>
      </x:c>
      <x:c r="H12" s="35" t="n">
        <x:v>2</x:v>
      </x:c>
    </x:row>
    <x:row r="13" ht="62" customHeight="1">
      <x:c r="A13" s="22" t="str">
        <x:v>WHO Commission on Social Connection Report</x:v>
      </x:c>
      <x:c r="B13" s="22" t="str">
        <x:v>World Health Organization</x:v>
      </x:c>
      <x:c r="C13" s="22" t="n">
        <x:v>2025</x:v>
      </x:c>
      <x:c r="D13" s="22" t="str">
        <x:v>https://www.who.int/publications/i/item/978240112360</x:v>
      </x:c>
      <x:c r="E13" s="22"/>
      <x:c r="F13" s="22" t="str">
        <x:v>WHO elsődleges jelentésoldal és teljes jelentés ellenőrizve 2026-08-25</x:v>
      </x:c>
      <x:c r="G13" s="22" t="str">
        <x:v>institutional_report</x:v>
      </x:c>
      <x:c r="H13" s="35" t="n">
        <x:v>2</x:v>
      </x:c>
    </x:row>
    <x:row r="14" ht="62" customHeight="1">
      <x:c r="A14" s="22" t="str">
        <x:v>From Loneliness to Social Connection</x:v>
      </x:c>
      <x:c r="B14" s="22" t="str">
        <x:v>World Health Organization</x:v>
      </x:c>
      <x:c r="C14" s="22" t="n">
        <x:v>2025</x:v>
      </x:c>
      <x:c r="D14" s="22" t="str">
        <x:v>https://www.who.int/publications/i/item/978240112360</x:v>
      </x:c>
      <x:c r="E14" s="22"/>
      <x:c r="F14" s="22" t="str">
        <x:v>WHO elsődleges jelentésoldal és teljes jelentés ellenőrizve 2026-08-25</x:v>
      </x:c>
      <x:c r="G14" s="22" t="str">
        <x:v>institutional_report</x:v>
      </x:c>
      <x:c r="H14" s="35" t="n">
        <x:v>1</x:v>
      </x:c>
    </x:row>
    <x:row r="15" ht="62" customHeight="1">
      <x:c r="A15" s="22" t="str">
        <x:v>Psychological Safety and Learning Behavior in Work Teams</x:v>
      </x:c>
      <x:c r="B15" s="22" t="str">
        <x:v>Amy C. Edmondson</x:v>
      </x:c>
      <x:c r="C15" s="22" t="n">
        <x:v>1999</x:v>
      </x:c>
      <x:c r="D15" s="22" t="str">
        <x:v>https://doi.org/10.2307/2666999</x:v>
      </x:c>
      <x:c r="E15" s="22" t="str">
        <x:v>10.2307/2666999</x:v>
      </x:c>
      <x:c r="F15" s="22" t="str">
        <x:v>Elsődleges kiadói cikkoldal és absztrakt ellenőrizve 2026-08-25</x:v>
      </x:c>
      <x:c r="G15" s="22" t="str">
        <x:v>peer_reviewed_article</x:v>
      </x:c>
      <x:c r="H15" s="35" t="n">
        <x:v>1</x:v>
      </x:c>
    </x:row>
    <x:row r="16" ht="62" customHeight="1">
      <x:c r="A16" s="22" t="str">
        <x:v>WHO Commission on Social Connection Report</x:v>
      </x:c>
      <x:c r="B16" s="22" t="str">
        <x:v>WHO</x:v>
      </x:c>
      <x:c r="C16" s="22" t="n">
        <x:v>2025</x:v>
      </x:c>
      <x:c r="D16" s="22" t="str">
        <x:v>https://www.who.int/publications/i/item/978240112360</x:v>
      </x:c>
      <x:c r="E16" s="22"/>
      <x:c r="F16" s="22" t="str">
        <x:v>WHO elsődleges jelentésoldal és teljes jelentés ellenőrizve 2026-08-25</x:v>
      </x:c>
      <x:c r="G16" s="22" t="str">
        <x:v>institutional_report</x:v>
      </x:c>
      <x:c r="H16" s="35" t="n">
        <x:v>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47a764419b843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2" hidden="0" customWidth="1"/>
    <x:col min="3" max="3" width="16" hidden="0" customWidth="1"/>
    <x:col min="4" max="4" width="62" hidden="0" customWidth="1"/>
  </x:cols>
  <x:sheetData>
    <x:row r="1" ht="30" customHeight="1">
      <x:c r="A1" s="3" t="str">
        <x:v>Lokalizációs és publikációs adatmodell</x:v>
      </x:c>
      <x:c r="B1" s="3"/>
      <x:c r="C1" s="3"/>
      <x:c r="D1" s="3"/>
    </x:row>
    <x:row r="2" ht="38" customHeight="1">
      <x:c r="A2" s="7" t="str">
        <x:v>A stabil forrásrekord és a fordítható megjelenítési tartalom külön él. Nyilvánosan csak hash-egyező, locale-szinten is jóváhagyott és publikált fordítás jelenhet meg.</x:v>
      </x:c>
      <x:c r="B2" s="7"/>
      <x:c r="C2" s="7"/>
      <x:c r="D2" s="7"/>
    </x:row>
    <x:row r="4" ht="34" customHeight="1">
      <x:c r="A4" s="29" t="str">
        <x:v>Tábla</x:v>
      </x:c>
      <x:c r="B4" s="42" t="str">
        <x:v>Mező</x:v>
      </x:c>
      <x:c r="C4" s="42" t="str">
        <x:v>Fordítható?</x:v>
      </x:c>
      <x:c r="D4" s="30" t="str">
        <x:v>Szerep</x:v>
      </x:c>
    </x:row>
    <x:row r="5" ht="74" customHeight="1">
      <x:c r="A5" s="21" t="str">
        <x:v>community_research_claims</x:v>
      </x:c>
      <x:c r="B5" s="21" t="str">
        <x:v>id, canonical_key, source_sequence_id, original_locale, publication_year, source_url, doi, original_statement_sha256, review_status, publication_status, is_active, eligible_placements, editorial_metadata, reviewed_by, reviewed_at</x:v>
      </x:c>
      <x:c r="C5" s="21" t="str">
        <x:v>Nem</x:v>
      </x:c>
      <x:c r="D5" s="21" t="str">
        <x:v>Stabil forrás-, audit-, elhelyezési és claim-szintű lifecycle-adatok</x:v>
      </x:c>
    </x:row>
    <x:row r="6" ht="74" customHeight="1">
      <x:c r="A6" s="22" t="str">
        <x:v>community_research_claim_translations</x:v>
      </x:c>
      <x:c r="B6" s="22" t="str">
        <x:v>claim_id, locale, statement_text, source_title, source_container, authors_display, statement_sha256, review_status, publication_status, translator_note, reviewed_by, reviewed_at, is_original</x:v>
      </x:c>
      <x:c r="C6" s="22" t="str">
        <x:v>Igen</x:v>
      </x:c>
      <x:c r="D6" s="22" t="str">
        <x:v>Locale-specifikus tartalom saját review/publikációs kapuval; szerkesztéskor automatikusan draft + pending_review</x:v>
      </x:c>
    </x:row>
    <x:row r="7" ht="74" customHeight="1">
      <x:c r="A7" s="22" t="str">
        <x:v>community_research_topics</x:v>
      </x:c>
      <x:c r="B7" s="22" t="str">
        <x:v>topic_key</x:v>
      </x:c>
      <x:c r="C7" s="22" t="str">
        <x:v>Nem</x:v>
      </x:c>
      <x:c r="D7" s="22" t="str">
        <x:v>Stabil, nyelvfüggetlen keresési és kategorizálási kulcs</x:v>
      </x:c>
    </x:row>
    <x:row r="8" ht="74" customHeight="1">
      <x:c r="A8" s="22" t="str">
        <x:v>community_research_topic_translations</x:v>
      </x:c>
      <x:c r="B8" s="22" t="str">
        <x:v>topic_key, locale, label</x:v>
      </x:c>
      <x:c r="C8" s="22" t="str">
        <x:v>Igen</x:v>
      </x:c>
      <x:c r="D8" s="22" t="str">
        <x:v>A tematikus címkék lokalizált megjelenítési neve</x:v>
      </x:c>
    </x:row>
    <x:row r="9" ht="74" customHeight="1">
      <x:c r="A9" s="22" t="str">
        <x:v>community_research_claim_topics</x:v>
      </x:c>
      <x:c r="B9" s="22" t="str">
        <x:v>claim_id, topic_key</x:v>
      </x:c>
      <x:c r="C9" s="22" t="str">
        <x:v>Nem</x:v>
      </x:c>
      <x:c r="D9" s="22" t="str">
        <x:v>Nyelvfüggetlen tematikus címkék</x:v>
      </x:c>
    </x:row>
    <x:row r="10" ht="74" customHeight="1">
      <x:c r="A10" s="22" t="str">
        <x:v>community_research_claim_saves</x:v>
      </x:c>
      <x:c r="B10" s="22" t="str">
        <x:v>user_id, claim_id, created_at</x:v>
      </x:c>
      <x:c r="C10" s="22" t="str">
        <x:v>Nem</x:v>
      </x:c>
      <x:c r="D10" s="22" t="str">
        <x:v>Felhasználónkénti szív + mentés; egyedi user/claim kulcs</x:v>
      </x:c>
    </x:row>
    <x:row r="11" ht="74" customHeight="1">
      <x:c r="A11" s="22" t="str">
        <x:v>RPC</x:v>
      </x:c>
      <x:c r="B11" s="22" t="str">
        <x:v>get_random_community_research_claim(locale, placement, random_cursor)</x:v>
      </x:c>
      <x:c r="C11" s="22" t="str">
        <x:v>—</x:v>
      </x:c>
      <x:c r="D11" s="22" t="str">
        <x:v>Csak hash-hiteles, claim- és locale-szinten approved + published + aktív rekord; 1/N esélyű választás és biztonságos locale-fallback</x:v>
      </x:c>
    </x:row>
    <x:row r="12" ht="74" customHeight="1">
      <x:c r="A12" s="22" t="str">
        <x:v>RPC</x:v>
      </x:c>
      <x:c r="B12" s="22" t="str">
        <x:v>set_community_research_claim_saved(claim_id, saved)</x:v>
      </x:c>
      <x:c r="C12" s="22" t="str">
        <x:v>—</x:v>
      </x:c>
      <x:c r="D12" s="22" t="str">
        <x:v>Bejelentkezett felhasználó szív + mentés művelete; a visszavonás akkor is engedett, ha a claim később lekerül</x:v>
      </x:c>
    </x:row>
    <x:row r="13" ht="74" customHeight="1">
      <x:c r="A13" s="22" t="str">
        <x:v>RPC</x:v>
      </x:c>
      <x:c r="B13" s="22" t="str">
        <x:v>list_saved_community_research_claims(locale, limit, offset)</x:v>
      </x:c>
      <x:c r="C13" s="22" t="str">
        <x:v>—</x:v>
      </x:c>
      <x:c r="D13" s="22" t="str">
        <x:v>Privát, auth.uid()-hoz kötött, lapozott mentett könyvtár; maximum 25 rekord/kérés és csak publikálható tartalom</x:v>
      </x:c>
    </x:row>
  </x:sheetData>
  <x:mergeCells>
    <x:mergeCell ref="A1:D1"/>
    <x:mergeCell ref="A2:D2"/>
  </x:mergeCells>
  <x:pageMargins left="0.7" right="0.7" top="0.75" bottom="0.75" header="0.3" footer="0.3"/>
</x:worksheet>
</file>